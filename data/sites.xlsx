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E:\LICP\code\CIC\data\"/>
    </mc:Choice>
  </mc:AlternateContent>
  <xr:revisionPtr revIDLastSave="0" documentId="13_ncr:1_{526297BC-B664-4DBF-B379-CEBFE5C03D82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6" i="1" l="1"/>
  <c r="I7" i="1"/>
  <c r="I8" i="1"/>
  <c r="I9" i="1"/>
  <c r="I10" i="1"/>
  <c r="I11" i="1"/>
  <c r="I12" i="1"/>
  <c r="I13" i="1"/>
  <c r="I5" i="1"/>
  <c r="I2" i="1"/>
</calcChain>
</file>

<file path=xl/sharedStrings.xml><?xml version="1.0" encoding="utf-8"?>
<sst xmlns="http://schemas.openxmlformats.org/spreadsheetml/2006/main" count="34" uniqueCount="26">
  <si>
    <t>idx</t>
    <phoneticPr fontId="1" type="noConversion"/>
  </si>
  <si>
    <t>Site</t>
    <phoneticPr fontId="1" type="noConversion"/>
  </si>
  <si>
    <t>T[C]</t>
    <phoneticPr fontId="1" type="noConversion"/>
  </si>
  <si>
    <t>A[m]</t>
    <phoneticPr fontId="1" type="noConversion"/>
  </si>
  <si>
    <t>p[hPa]</t>
    <phoneticPr fontId="1" type="noConversion"/>
  </si>
  <si>
    <t>Year</t>
    <phoneticPr fontId="1" type="noConversion"/>
  </si>
  <si>
    <t>rho_0</t>
    <phoneticPr fontId="1" type="noConversion"/>
  </si>
  <si>
    <t>CPSW</t>
    <phoneticPr fontId="1" type="noConversion"/>
  </si>
  <si>
    <t>NEEM_EU</t>
    <phoneticPr fontId="1" type="noConversion"/>
  </si>
  <si>
    <t>NEEM_US</t>
    <phoneticPr fontId="1" type="noConversion"/>
  </si>
  <si>
    <t>DE08</t>
    <phoneticPr fontId="1" type="noConversion"/>
  </si>
  <si>
    <t>SP</t>
    <phoneticPr fontId="1" type="noConversion"/>
  </si>
  <si>
    <t>Megadunes</t>
    <phoneticPr fontId="1" type="noConversion"/>
  </si>
  <si>
    <t>O</t>
    <phoneticPr fontId="1" type="noConversion"/>
  </si>
  <si>
    <t>X</t>
    <phoneticPr fontId="1" type="noConversion"/>
  </si>
  <si>
    <t>use_HL</t>
    <phoneticPr fontId="1" type="noConversion"/>
  </si>
  <si>
    <t>DC</t>
  </si>
  <si>
    <t>DML</t>
  </si>
  <si>
    <t>NGRIP</t>
  </si>
  <si>
    <t>Siple</t>
  </si>
  <si>
    <t>Summit</t>
  </si>
  <si>
    <t>WD</t>
  </si>
  <si>
    <t>O</t>
  </si>
  <si>
    <t>X</t>
  </si>
  <si>
    <t>H[m]</t>
  </si>
  <si>
    <t>rho_ice [g/cm3]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</si>
</sst>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"/>
  <sheetViews>
    <sheetView tabSelected="1" workbookViewId="0">
      <selection activeCell="M8" sqref="M8"/>
    </sheetView>
  </sheetViews>
  <sheetFormatPr defaultRowHeight="15"/>
  <cols>
    <col min="2" max="2" width="11.5703125" bestFit="1" customWidth="1"/>
    <col min="9" max="9" width="15.140625" bestFit="1" customWidth="1"/>
  </cols>
  <sheetData>
    <row r="1" spans="1:10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24</v>
      </c>
      <c r="I1" s="1" t="s">
        <v>25</v>
      </c>
      <c r="J1" s="1" t="s">
        <v>15</v>
      </c>
    </row>
    <row r="2" spans="1:10">
      <c r="A2">
        <v>1</v>
      </c>
      <c r="B2" t="s">
        <v>7</v>
      </c>
      <c r="C2">
        <v>-12</v>
      </c>
      <c r="D2">
        <v>1.7</v>
      </c>
      <c r="E2">
        <v>981</v>
      </c>
      <c r="F2">
        <v>2024.1</v>
      </c>
      <c r="G2">
        <v>0.39900000000000002</v>
      </c>
      <c r="H2">
        <v>443</v>
      </c>
      <c r="I2">
        <f>0.9165*(1-0.000153*C2)</f>
        <v>0.91818269399999997</v>
      </c>
      <c r="J2" t="s">
        <v>14</v>
      </c>
    </row>
    <row r="3" spans="1:10">
      <c r="A3">
        <v>2</v>
      </c>
      <c r="B3" t="s">
        <v>8</v>
      </c>
      <c r="C3">
        <v>-28.9</v>
      </c>
      <c r="D3">
        <v>0.216</v>
      </c>
      <c r="E3">
        <v>745</v>
      </c>
      <c r="F3">
        <v>2008.54</v>
      </c>
      <c r="G3">
        <v>0.35</v>
      </c>
      <c r="H3">
        <v>2000</v>
      </c>
      <c r="I3">
        <f>0.001*920.54</f>
        <v>0.92054000000000002</v>
      </c>
      <c r="J3" t="s">
        <v>14</v>
      </c>
    </row>
    <row r="4" spans="1:10">
      <c r="A4">
        <v>3</v>
      </c>
      <c r="B4" t="s">
        <v>9</v>
      </c>
      <c r="C4">
        <v>-28.9</v>
      </c>
      <c r="D4">
        <v>0.216</v>
      </c>
      <c r="E4">
        <v>745</v>
      </c>
      <c r="F4">
        <v>2008.54</v>
      </c>
      <c r="G4">
        <v>0.35</v>
      </c>
      <c r="H4">
        <v>2000</v>
      </c>
      <c r="I4">
        <v>0.92054000000000002</v>
      </c>
      <c r="J4" t="s">
        <v>14</v>
      </c>
    </row>
    <row r="5" spans="1:10">
      <c r="A5">
        <v>4</v>
      </c>
      <c r="B5" t="s">
        <v>10</v>
      </c>
      <c r="C5">
        <v>-19</v>
      </c>
      <c r="D5">
        <v>1.2</v>
      </c>
      <c r="E5">
        <v>850</v>
      </c>
      <c r="F5">
        <v>1993</v>
      </c>
      <c r="G5">
        <v>0.35</v>
      </c>
      <c r="H5">
        <v>1130</v>
      </c>
      <c r="I5">
        <f>0.9165*(1-0.000153*C5)</f>
        <v>0.91916426549999997</v>
      </c>
      <c r="J5" t="s">
        <v>14</v>
      </c>
    </row>
    <row r="6" spans="1:10">
      <c r="A6">
        <v>5</v>
      </c>
      <c r="B6" t="s">
        <v>11</v>
      </c>
      <c r="C6">
        <v>-51</v>
      </c>
      <c r="D6">
        <v>0.08</v>
      </c>
      <c r="E6">
        <v>681</v>
      </c>
      <c r="F6">
        <v>2000</v>
      </c>
      <c r="G6">
        <v>0.35</v>
      </c>
      <c r="H6">
        <v>2742</v>
      </c>
      <c r="I6">
        <f t="shared" ref="I6:I13" si="0">0.9165*(1-0.000153*C6)</f>
        <v>0.9236514495</v>
      </c>
      <c r="J6" t="s">
        <v>13</v>
      </c>
    </row>
    <row r="7" spans="1:10">
      <c r="A7">
        <v>6</v>
      </c>
      <c r="B7" t="s">
        <v>12</v>
      </c>
      <c r="C7">
        <v>-49</v>
      </c>
      <c r="D7">
        <v>2.5000000000000001E-2</v>
      </c>
      <c r="E7">
        <v>677</v>
      </c>
      <c r="F7">
        <v>2004</v>
      </c>
      <c r="G7">
        <v>0.35</v>
      </c>
      <c r="H7">
        <v>2838</v>
      </c>
      <c r="I7">
        <f t="shared" si="0"/>
        <v>0.92337100050000009</v>
      </c>
      <c r="J7" t="s">
        <v>14</v>
      </c>
    </row>
    <row r="8" spans="1:10">
      <c r="A8">
        <v>7</v>
      </c>
      <c r="B8" t="s">
        <v>16</v>
      </c>
      <c r="C8">
        <v>-54</v>
      </c>
      <c r="D8">
        <v>3.2000000000000001E-2</v>
      </c>
      <c r="E8">
        <v>658</v>
      </c>
      <c r="F8">
        <v>1999</v>
      </c>
      <c r="G8">
        <v>0.35</v>
      </c>
      <c r="H8">
        <v>3701</v>
      </c>
      <c r="I8">
        <f t="shared" si="0"/>
        <v>0.92407212299999997</v>
      </c>
      <c r="J8" t="s">
        <v>14</v>
      </c>
    </row>
    <row r="9" spans="1:10">
      <c r="A9">
        <v>8</v>
      </c>
      <c r="B9" t="s">
        <v>17</v>
      </c>
      <c r="C9">
        <v>-39</v>
      </c>
      <c r="D9">
        <v>7.0000000000000007E-2</v>
      </c>
      <c r="E9">
        <v>757</v>
      </c>
      <c r="F9">
        <v>1998</v>
      </c>
      <c r="G9">
        <v>0.35</v>
      </c>
      <c r="H9">
        <v>2618</v>
      </c>
      <c r="I9">
        <f t="shared" si="0"/>
        <v>0.92196875550000001</v>
      </c>
      <c r="J9" t="s">
        <v>14</v>
      </c>
    </row>
    <row r="10" spans="1:10">
      <c r="A10">
        <v>9</v>
      </c>
      <c r="B10" t="s">
        <v>18</v>
      </c>
      <c r="C10">
        <v>-31.1</v>
      </c>
      <c r="D10">
        <v>0.19</v>
      </c>
      <c r="E10">
        <v>691</v>
      </c>
      <c r="F10">
        <v>2001</v>
      </c>
      <c r="G10">
        <v>0.35</v>
      </c>
      <c r="H10">
        <v>0</v>
      </c>
      <c r="I10">
        <f t="shared" si="0"/>
        <v>0.92086098194999999</v>
      </c>
      <c r="J10" t="s">
        <v>14</v>
      </c>
    </row>
    <row r="11" spans="1:10">
      <c r="A11">
        <v>10</v>
      </c>
      <c r="B11" t="s">
        <v>19</v>
      </c>
      <c r="C11">
        <v>-25.4</v>
      </c>
      <c r="D11">
        <v>13</v>
      </c>
      <c r="E11">
        <v>940</v>
      </c>
      <c r="F11">
        <v>1998</v>
      </c>
      <c r="G11">
        <v>0.35</v>
      </c>
      <c r="H11">
        <v>993</v>
      </c>
      <c r="I11">
        <f t="shared" si="0"/>
        <v>0.92006170229999995</v>
      </c>
      <c r="J11" t="s">
        <v>22</v>
      </c>
    </row>
    <row r="12" spans="1:10">
      <c r="A12">
        <v>11</v>
      </c>
      <c r="B12" t="s">
        <v>20</v>
      </c>
      <c r="C12">
        <v>-31.4</v>
      </c>
      <c r="D12">
        <v>0.23</v>
      </c>
      <c r="E12">
        <v>665</v>
      </c>
      <c r="F12">
        <v>1989</v>
      </c>
      <c r="G12">
        <v>0.35</v>
      </c>
      <c r="H12">
        <v>0</v>
      </c>
      <c r="I12">
        <f t="shared" si="0"/>
        <v>0.92090304929999989</v>
      </c>
      <c r="J12" t="s">
        <v>23</v>
      </c>
    </row>
    <row r="13" spans="1:10">
      <c r="A13">
        <v>12</v>
      </c>
      <c r="B13" t="s">
        <v>21</v>
      </c>
      <c r="C13">
        <v>-31</v>
      </c>
      <c r="D13">
        <v>0.22</v>
      </c>
      <c r="E13">
        <v>799</v>
      </c>
      <c r="F13">
        <v>2005</v>
      </c>
      <c r="G13">
        <v>0.35</v>
      </c>
      <c r="H13">
        <v>0</v>
      </c>
      <c r="I13">
        <f t="shared" si="0"/>
        <v>0.92084695949999995</v>
      </c>
      <c r="J13" t="s">
        <v>23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2015-06-05T18:19:34Z</dcterms:created>
  <dcterms:modified xsi:type="dcterms:W3CDTF">2026-03-01T13:23:23Z</dcterms:modified>
</cp:coreProperties>
</file>